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1966\OneDrive\Documents\Github\Aus-Land-Data-ETL\Aus-Land-Data-ETL\local-council\incoming\stormwater\"/>
    </mc:Choice>
  </mc:AlternateContent>
  <xr:revisionPtr revIDLastSave="0" documentId="13_ncr:1_{D4123D2A-093B-4B07-B687-0D87F0498285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J7" i="1"/>
  <c r="F7" i="1"/>
  <c r="F4" i="1"/>
  <c r="F5" i="1"/>
  <c r="F6" i="1"/>
  <c r="F3" i="1"/>
</calcChain>
</file>

<file path=xl/sharedStrings.xml><?xml version="1.0" encoding="utf-8"?>
<sst xmlns="http://schemas.openxmlformats.org/spreadsheetml/2006/main" count="47" uniqueCount="35">
  <si>
    <t>WaterNeeds</t>
  </si>
  <si>
    <t>Sydney Tanks</t>
  </si>
  <si>
    <t>Enviro Water Tanks</t>
  </si>
  <si>
    <t>ASC Water Tanks</t>
  </si>
  <si>
    <t>delivery</t>
  </si>
  <si>
    <t>ug-3000L</t>
  </si>
  <si>
    <t>ug-5000L</t>
  </si>
  <si>
    <t>notes</t>
  </si>
  <si>
    <t>supplier</t>
  </si>
  <si>
    <t>option_costs</t>
  </si>
  <si>
    <t>pump+filter</t>
  </si>
  <si>
    <t>$900–$1,400</t>
  </si>
  <si>
    <t>$800–$1,300</t>
  </si>
  <si>
    <t>$900–$1,500</t>
  </si>
  <si>
    <t>$700–$1,200</t>
  </si>
  <si>
    <t>$250–$450</t>
  </si>
  <si>
    <t>$200–$400</t>
  </si>
  <si>
    <t>$300–$500</t>
  </si>
  <si>
    <t>$350–$600</t>
  </si>
  <si>
    <t>Underground surge tank options - suggested enviro tanks</t>
  </si>
  <si>
    <t>specs</t>
  </si>
  <si>
    <t>Sydney</t>
  </si>
  <si>
    <t>?Victoria</t>
  </si>
  <si>
    <t>del_actual</t>
  </si>
  <si>
    <t>extras_actual</t>
  </si>
  <si>
    <t>Tank World</t>
  </si>
  <si>
    <t>Rainsaver MK4E +  DAB-EUROINOX40/80MPCX</t>
  </si>
  <si>
    <t>Shed / Storage options</t>
  </si>
  <si>
    <t>Steel Chief</t>
  </si>
  <si>
    <t>Item-cost</t>
  </si>
  <si>
    <t xml:space="preserve">Corrugated Steel Frame Skill 6.14x2.34m Colour 2.55m High Side 2.40m Low Side. Extras Bundle (4 extras for $129) - Pick from shovel rack / t handle / CFK / skylight </t>
  </si>
  <si>
    <t>item</t>
  </si>
  <si>
    <t>Steel Shed</t>
  </si>
  <si>
    <t>HSBC 1300555988</t>
  </si>
  <si>
    <t>No Ref#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</si>
</sst>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1" applyFont="1"/>
    <xf numFmtId="6" fontId="4" fillId="0" borderId="0" xfId="0" applyNumberFormat="1" applyFont="1"/>
    <xf numFmtId="0" fontId="4" fillId="0" borderId="0" xfId="0" applyFont="1"/>
    <xf numFmtId="0" fontId="3" fillId="0" borderId="0" xfId="1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24">
    <dxf>
      <font>
        <strike val="0"/>
        <outline val="0"/>
        <shadow val="0"/>
        <vertAlign val="baseline"/>
        <sz val="10"/>
        <name val="Calibri"/>
        <family val="2"/>
        <scheme val="minor"/>
      </font>
      <alignment textRotation="0" wrapText="1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numFmt numFmtId="10" formatCode="&quot;$&quot;#,##0;[Red]\-&quot;$&quot;#,##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alignment textRotation="0" wrapText="1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numFmt numFmtId="10" formatCode="&quot;$&quot;#,##0;[Red]\-&quot;$&quot;#,##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numFmt numFmtId="10" formatCode="&quot;$&quot;#,##0;[Red]\-&quot;$&quot;#,##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numFmt numFmtId="10" formatCode="&quot;$&quot;#,##0;[Red]\-&quot;$&quot;#,##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vertAlign val="baseline"/>
        <sz val="10"/>
        <name val="Calibri"/>
        <family val="2"/>
        <scheme val="minor"/>
      </font>
    </dxf>
    <dxf>
      <font>
        <b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numFmt numFmtId="10" formatCode="&quot;$&quot;#,##0;[Red]\-&quot;$&quot;#,##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numFmt numFmtId="10" formatCode="&quot;$&quot;#,##0;[Red]\-&quot;$&quot;#,##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vertAlign val="baseline"/>
        <sz val="10"/>
        <name val="Calibri"/>
        <family val="2"/>
        <scheme val="minor"/>
      </font>
    </dxf>
    <dxf>
      <font>
        <b/>
      </font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9A509B-3074-4A41-A904-79ED4FD7D17C}" name="tanks" displayName="tanks" ref="A2:J7" totalsRowShown="0" headerRowDxfId="23" dataDxfId="22">
  <autoFilter ref="A2:J7" xr:uid="{4F9A509B-3074-4A41-A904-79ED4FD7D17C}"/>
  <tableColumns count="10">
    <tableColumn id="1" xr3:uid="{E4773F0C-5308-484A-A328-819EB4A4CC82}" name="supplier" dataDxfId="21"/>
    <tableColumn id="2" xr3:uid="{91197956-D80B-4363-84D2-3E9ADD341B98}" name="ug-3000L" dataDxfId="20"/>
    <tableColumn id="3" xr3:uid="{C9B71E88-BD36-492C-86AB-DB9383E9CDF8}" name="ug-5000L" dataDxfId="19"/>
    <tableColumn id="4" xr3:uid="{F9868229-E757-4B70-8F36-C9EB361EAEB3}" name="delivery" dataDxfId="18"/>
    <tableColumn id="5" xr3:uid="{EC9CD750-3858-4718-9F8E-E58CEAA70CBD}" name="pump+filter" dataDxfId="17"/>
    <tableColumn id="7" xr3:uid="{643CA8F6-46A8-4E07-9729-51CED1C0197B}" name="option_costs" dataDxfId="5">
      <calculatedColumnFormula>SUM(tanks[[#This Row],[ug-3000L]:[pump+filter]])</calculatedColumnFormula>
    </tableColumn>
    <tableColumn id="6" xr3:uid="{A5C42BBC-5C7B-4E0E-A519-DDB3ACD20ED9}" name="notes" dataDxfId="3"/>
    <tableColumn id="8" xr3:uid="{C6AE7880-4BA7-4E09-8421-80610320469B}" name="specs" dataDxfId="4"/>
    <tableColumn id="9" xr3:uid="{E2DE2930-C894-4539-8880-CAF8B897C479}" name="del_actual" dataDxfId="16"/>
    <tableColumn id="10" xr3:uid="{620AF99D-E375-45E0-8B49-BFABCC246FD7}" name="extras_actual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4B532A-DE4E-4FE9-90D2-94FE51A19702}" name="tanks2" displayName="tanks2" ref="A10:J15" totalsRowShown="0" headerRowDxfId="14" dataDxfId="13">
  <autoFilter ref="A10:J15" xr:uid="{F74B532A-DE4E-4FE9-90D2-94FE51A19702}"/>
  <tableColumns count="10">
    <tableColumn id="1" xr3:uid="{871920AD-08F0-4AD0-9078-7036E18C3256}" name="supplier" dataDxfId="12"/>
    <tableColumn id="2" xr3:uid="{2ECDEF5A-2F9F-4542-99BF-8E70318162D7}" name="item" dataDxfId="11"/>
    <tableColumn id="3" xr3:uid="{63313C41-F9FA-4969-BA0E-F6911AA1FC00}" name="Item-cost" dataDxfId="10"/>
    <tableColumn id="4" xr3:uid="{8D2EABE4-B0AD-47B9-BBC7-7F4D8457B623}" name="delivery" dataDxfId="9"/>
    <tableColumn id="5" xr3:uid="{D1CBE72C-6760-41B5-9788-3BD02D5EC665}" name="pump+filter" dataDxfId="8"/>
    <tableColumn id="7" xr3:uid="{DEAADC7C-5421-4BEF-9D4F-1A221229DDAD}" name="option_costs" dataDxfId="2">
      <calculatedColumnFormula>SUM(tanks2[[#This Row],[item]:[pump+filter]])</calculatedColumnFormula>
    </tableColumn>
    <tableColumn id="6" xr3:uid="{A734BFB6-D6E5-4962-B878-A720C2797A8B}" name="notes" dataDxfId="0"/>
    <tableColumn id="8" xr3:uid="{5A982DCD-F428-4072-BE18-11B8B6FD3FDC}" name="specs" dataDxfId="1"/>
    <tableColumn id="9" xr3:uid="{CC3C956E-8596-44ED-AA1E-66408B1CAA6C}" name="del_actual" dataDxfId="7"/>
    <tableColumn id="10" xr3:uid="{D614A760-931E-4B95-8754-B892A042E8FE}" name="extras_actual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sctanks.com.au/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envirowatertanks.com.au/" TargetMode="External"/><Relationship Id="rId1" Type="http://schemas.openxmlformats.org/officeDocument/2006/relationships/hyperlink" Target="https://www.waterpumpsandtanks.com.au/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www.tankworld.com.au/" TargetMode="External"/><Relationship Id="rId4" Type="http://schemas.openxmlformats.org/officeDocument/2006/relationships/hyperlink" Target="https://www.bing.com/ck/a?!&amp;&amp;p=5b9fdae2dd4a0ba5520acdf6f20dbce002d99025a06495dfe344dcbb1f86e73bJmltdHM9MTc4MTU2ODAwMA&amp;ptn=3&amp;ver=2&amp;hsh=4&amp;fclid=3a7cdf88-25ab-6dc7-0ef0-c8f124ff6c00&amp;psq=sydney+tanks&amp;u=a1aHR0cHM6Ly93d3cuc3lkbmV5dGFua3MuY29t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G22" sqref="G22"/>
    </sheetView>
  </sheetViews>
  <sheetFormatPr defaultRowHeight="14.25" x14ac:dyDescent="0.45"/>
  <cols>
    <col min="1" max="1" width="25.59765625" customWidth="1"/>
    <col min="2" max="2" width="14.3984375" customWidth="1"/>
    <col min="3" max="3" width="16.9296875" customWidth="1"/>
    <col min="4" max="4" width="13.59765625" customWidth="1"/>
    <col min="5" max="5" width="13.19921875" customWidth="1"/>
    <col min="6" max="6" width="13.73046875" customWidth="1"/>
    <col min="7" max="7" width="44.53125" style="10" customWidth="1"/>
    <col min="10" max="10" width="11.46484375" customWidth="1"/>
  </cols>
  <sheetData>
    <row r="1" spans="1:10" x14ac:dyDescent="0.45">
      <c r="A1" s="6" t="s">
        <v>19</v>
      </c>
      <c r="B1" s="6"/>
      <c r="C1" s="6"/>
      <c r="D1" s="6"/>
      <c r="E1" s="6"/>
      <c r="F1" s="6"/>
      <c r="G1" s="6"/>
      <c r="H1" s="6"/>
      <c r="I1" s="6"/>
      <c r="J1" s="6"/>
    </row>
    <row r="2" spans="1:10" ht="27" customHeight="1" x14ac:dyDescent="0.45">
      <c r="A2" s="5" t="s">
        <v>8</v>
      </c>
      <c r="B2" s="5" t="s">
        <v>5</v>
      </c>
      <c r="C2" s="5" t="s">
        <v>6</v>
      </c>
      <c r="D2" s="5" t="s">
        <v>4</v>
      </c>
      <c r="E2" s="5" t="s">
        <v>10</v>
      </c>
      <c r="F2" s="5" t="s">
        <v>9</v>
      </c>
      <c r="G2" s="8" t="s">
        <v>7</v>
      </c>
      <c r="H2" s="5" t="s">
        <v>20</v>
      </c>
      <c r="I2" s="5" t="s">
        <v>23</v>
      </c>
      <c r="J2" s="5" t="s">
        <v>24</v>
      </c>
    </row>
    <row r="3" spans="1:10" x14ac:dyDescent="0.45">
      <c r="A3" s="1" t="s">
        <v>0</v>
      </c>
      <c r="B3" s="2">
        <v>3670</v>
      </c>
      <c r="C3" s="2">
        <v>4795</v>
      </c>
      <c r="D3" s="3" t="s">
        <v>15</v>
      </c>
      <c r="E3" s="3" t="s">
        <v>11</v>
      </c>
      <c r="F3" s="2">
        <f>SUM(tanks[[#This Row],[ug-3000L]:[pump+filter]])</f>
        <v>8465</v>
      </c>
      <c r="G3" s="9" t="s">
        <v>21</v>
      </c>
      <c r="H3" s="3"/>
      <c r="I3" s="2">
        <v>250</v>
      </c>
      <c r="J3" s="2">
        <v>900</v>
      </c>
    </row>
    <row r="4" spans="1:10" x14ac:dyDescent="0.45">
      <c r="A4" s="4" t="s">
        <v>1</v>
      </c>
      <c r="B4" s="3">
        <v>4000</v>
      </c>
      <c r="C4" s="3">
        <v>5000</v>
      </c>
      <c r="D4" s="3" t="s">
        <v>16</v>
      </c>
      <c r="E4" s="3" t="s">
        <v>12</v>
      </c>
      <c r="F4" s="3">
        <f>SUM(tanks[[#This Row],[ug-3000L]:[pump+filter]])</f>
        <v>9000</v>
      </c>
      <c r="G4" s="9" t="s">
        <v>21</v>
      </c>
      <c r="H4" s="3"/>
      <c r="I4" s="3">
        <v>200</v>
      </c>
      <c r="J4" s="3">
        <v>800</v>
      </c>
    </row>
    <row r="5" spans="1:10" x14ac:dyDescent="0.45">
      <c r="A5" s="1" t="s">
        <v>2</v>
      </c>
      <c r="B5" s="2">
        <v>4140</v>
      </c>
      <c r="C5" s="2">
        <v>5485</v>
      </c>
      <c r="D5" s="3" t="s">
        <v>17</v>
      </c>
      <c r="E5" s="3" t="s">
        <v>13</v>
      </c>
      <c r="F5" s="2">
        <f>SUM(tanks[[#This Row],[ug-3000L]:[pump+filter]])</f>
        <v>9625</v>
      </c>
      <c r="G5" s="9" t="s">
        <v>21</v>
      </c>
      <c r="H5" s="3"/>
      <c r="I5" s="2">
        <v>300</v>
      </c>
      <c r="J5" s="2">
        <v>900</v>
      </c>
    </row>
    <row r="6" spans="1:10" x14ac:dyDescent="0.45">
      <c r="A6" s="1" t="s">
        <v>3</v>
      </c>
      <c r="B6" s="2">
        <v>2900</v>
      </c>
      <c r="C6" s="2">
        <v>3950</v>
      </c>
      <c r="D6" s="2" t="s">
        <v>18</v>
      </c>
      <c r="E6" s="3" t="s">
        <v>14</v>
      </c>
      <c r="F6" s="2">
        <f>SUM(tanks[[#This Row],[ug-3000L]:[pump+filter]])</f>
        <v>6850</v>
      </c>
      <c r="G6" s="9" t="s">
        <v>22</v>
      </c>
      <c r="H6" s="3"/>
      <c r="I6" s="2">
        <v>350</v>
      </c>
      <c r="J6" s="2">
        <v>700</v>
      </c>
    </row>
    <row r="7" spans="1:10" x14ac:dyDescent="0.45">
      <c r="A7" s="1" t="s">
        <v>25</v>
      </c>
      <c r="B7" s="2"/>
      <c r="C7" s="2">
        <v>4010</v>
      </c>
      <c r="D7" s="3"/>
      <c r="E7" s="2">
        <v>2100</v>
      </c>
      <c r="F7" s="2">
        <f>SUM(tanks[[#This Row],[ug-3000L]:[pump+filter]])</f>
        <v>6110</v>
      </c>
      <c r="G7" s="9" t="s">
        <v>26</v>
      </c>
      <c r="H7" s="3"/>
      <c r="I7" s="3"/>
      <c r="J7" s="2">
        <f>SUM(C7,D7,E7)</f>
        <v>6110</v>
      </c>
    </row>
    <row r="9" spans="1:10" x14ac:dyDescent="0.45">
      <c r="A9" s="7" t="s">
        <v>27</v>
      </c>
      <c r="B9" s="7"/>
      <c r="C9" s="7"/>
      <c r="D9" s="7"/>
      <c r="E9" s="7"/>
      <c r="F9" s="7"/>
      <c r="G9" s="7"/>
      <c r="H9" s="7"/>
      <c r="I9" s="7"/>
      <c r="J9" s="7"/>
    </row>
    <row r="10" spans="1:10" x14ac:dyDescent="0.45">
      <c r="A10" s="5" t="s">
        <v>8</v>
      </c>
      <c r="B10" s="5" t="s">
        <v>31</v>
      </c>
      <c r="C10" s="5" t="s">
        <v>29</v>
      </c>
      <c r="D10" s="5" t="s">
        <v>4</v>
      </c>
      <c r="E10" s="5" t="s">
        <v>10</v>
      </c>
      <c r="F10" s="5" t="s">
        <v>9</v>
      </c>
      <c r="G10" s="8" t="s">
        <v>7</v>
      </c>
      <c r="H10" s="5" t="s">
        <v>20</v>
      </c>
      <c r="I10" s="5" t="s">
        <v>23</v>
      </c>
      <c r="J10" s="5" t="s">
        <v>24</v>
      </c>
    </row>
    <row r="11" spans="1:10" ht="39.75" x14ac:dyDescent="0.45">
      <c r="A11" s="1" t="s">
        <v>28</v>
      </c>
      <c r="B11" s="2" t="s">
        <v>32</v>
      </c>
      <c r="C11" s="2">
        <v>7192</v>
      </c>
      <c r="D11" s="3" t="s">
        <v>15</v>
      </c>
      <c r="E11" s="3" t="s">
        <v>11</v>
      </c>
      <c r="F11" s="2">
        <f>SUM(tanks2[[#This Row],[item]:[pump+filter]])</f>
        <v>7192</v>
      </c>
      <c r="G11" s="9" t="s">
        <v>30</v>
      </c>
      <c r="H11" s="3"/>
      <c r="I11" s="2">
        <v>250</v>
      </c>
      <c r="J11" s="2">
        <v>900</v>
      </c>
    </row>
    <row r="12" spans="1:10" x14ac:dyDescent="0.45">
      <c r="A12" s="4"/>
      <c r="B12" s="3"/>
      <c r="C12" s="3"/>
      <c r="D12" s="3"/>
      <c r="E12" s="3"/>
      <c r="F12" s="3"/>
      <c r="G12" s="9"/>
      <c r="H12" s="3"/>
      <c r="I12" s="3"/>
      <c r="J12" s="3"/>
    </row>
    <row r="13" spans="1:10" x14ac:dyDescent="0.45">
      <c r="A13" s="1"/>
      <c r="B13" s="2"/>
      <c r="C13" s="2"/>
      <c r="D13" s="3"/>
      <c r="E13" s="3"/>
      <c r="F13" s="2"/>
      <c r="G13" s="9"/>
      <c r="H13" s="3"/>
      <c r="I13" s="2"/>
      <c r="J13" s="2"/>
    </row>
    <row r="14" spans="1:10" x14ac:dyDescent="0.45">
      <c r="A14" s="1"/>
      <c r="B14" s="2"/>
      <c r="C14" s="2"/>
      <c r="D14" s="2"/>
      <c r="E14" s="3"/>
      <c r="F14" s="2"/>
      <c r="G14" s="9"/>
      <c r="H14" s="3"/>
      <c r="I14" s="2"/>
      <c r="J14" s="2"/>
    </row>
    <row r="15" spans="1:10" x14ac:dyDescent="0.45">
      <c r="A15" s="1"/>
      <c r="B15" s="2"/>
      <c r="C15" s="2"/>
      <c r="D15" s="3"/>
      <c r="E15" s="2"/>
      <c r="F15" s="2"/>
      <c r="G15" s="9"/>
      <c r="H15" s="3"/>
      <c r="I15" s="3"/>
      <c r="J15" s="2"/>
    </row>
    <row r="20" spans="7:7" x14ac:dyDescent="0.45">
      <c r="G20" s="10" t="s">
        <v>33</v>
      </c>
    </row>
    <row r="21" spans="7:7" x14ac:dyDescent="0.45">
      <c r="G21" s="10" t="s">
        <v>34</v>
      </c>
    </row>
  </sheetData>
  <mergeCells count="2">
    <mergeCell ref="A9:J9"/>
    <mergeCell ref="A1:J1"/>
  </mergeCells>
  <hyperlinks>
    <hyperlink ref="A3" r:id="rId1" xr:uid="{69DB3004-5BE0-43BD-B2D4-7F5D51C7F865}"/>
    <hyperlink ref="A5" r:id="rId2" xr:uid="{043D441B-8FD7-4464-8ADA-1A6D50B92CF0}"/>
    <hyperlink ref="A6" r:id="rId3" xr:uid="{145837BA-03CD-40FB-BB3B-0FBB9E0A75FE}"/>
    <hyperlink ref="A4" r:id="rId4" xr:uid="{804E6DA2-E47F-4FF5-95BF-A2205609DDD8}"/>
    <hyperlink ref="A7" r:id="rId5" xr:uid="{E9D6EF34-AEDF-4D65-B206-C1FBA82FE6AF}"/>
  </hyperlinks>
  <pageMargins left="0.7" right="0.7" top="0.75" bottom="0.75" header="0.3" footer="0.3"/>
  <tableParts count="2"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Lewis</dc:creator>
  <cp:lastModifiedBy>David Lewis</cp:lastModifiedBy>
  <dcterms:created xsi:type="dcterms:W3CDTF">2015-06-05T18:17:20Z</dcterms:created>
  <dcterms:modified xsi:type="dcterms:W3CDTF">2026-06-18T07:25:38Z</dcterms:modified>
</cp:coreProperties>
</file>